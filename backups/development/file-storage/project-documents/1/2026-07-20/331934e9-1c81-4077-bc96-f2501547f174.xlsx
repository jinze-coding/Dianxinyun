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<sst xmlns="http://schemas.openxmlformats.org/spreadsheetml/2006/main" count="139" uniqueCount="59">
  <si>
    <t>出入库统计表（盛适德）</t>
  </si>
  <si>
    <t>序号</t>
  </si>
  <si>
    <t>产品名称</t>
  </si>
  <si>
    <t>规格</t>
  </si>
  <si>
    <t>供应商</t>
  </si>
  <si>
    <t>单位</t>
  </si>
  <si>
    <t>入库</t>
  </si>
  <si>
    <t>出库</t>
  </si>
  <si>
    <t>实时库存</t>
  </si>
  <si>
    <t>备注</t>
  </si>
  <si>
    <t>数量</t>
  </si>
  <si>
    <t>单价</t>
  </si>
  <si>
    <t>总额</t>
  </si>
  <si>
    <t>FFKM 定转子</t>
  </si>
  <si>
    <t>0.6cc</t>
  </si>
  <si>
    <t>迪班斯</t>
  </si>
  <si>
    <t>套</t>
  </si>
  <si>
    <t>FFKM 定子</t>
  </si>
  <si>
    <t>个</t>
  </si>
  <si>
    <t>FKM 定子\F8075</t>
  </si>
  <si>
    <t>FFKM 镀钛转子</t>
  </si>
  <si>
    <t>列1</t>
  </si>
  <si>
    <t>列2</t>
  </si>
  <si>
    <t>PUR定子</t>
  </si>
  <si>
    <t>入库数量</t>
  </si>
  <si>
    <t>陶瓷转子</t>
  </si>
  <si>
    <t>入库合计金额</t>
  </si>
  <si>
    <t>全氟醚转子（镀钛）新/旧</t>
  </si>
  <si>
    <t>实际库存数量</t>
  </si>
  <si>
    <t>全氟醚定子FFKM</t>
  </si>
  <si>
    <t>实际库存合计金额</t>
  </si>
  <si>
    <t>FFKM 转子</t>
  </si>
  <si>
    <t>FFKM全氟醚定转子</t>
  </si>
  <si>
    <t>1.2CC</t>
  </si>
  <si>
    <t>EPDM定子</t>
  </si>
  <si>
    <t>0.6CC</t>
  </si>
  <si>
    <t>不锈钢转子</t>
  </si>
  <si>
    <t>0.15CC</t>
  </si>
  <si>
    <t>新迈</t>
  </si>
  <si>
    <t>FKM定子</t>
  </si>
  <si>
    <t>FFKM定子</t>
  </si>
  <si>
    <t>未到货</t>
  </si>
  <si>
    <t>FFKM全氟醚定子</t>
  </si>
  <si>
    <t>0.15</t>
  </si>
  <si>
    <t>新款全氟醚转子(镀钛）</t>
  </si>
  <si>
    <t>FFKM镀钛转子</t>
  </si>
  <si>
    <t>陶瓷螺杆定转子</t>
  </si>
  <si>
    <t>TC5.0</t>
  </si>
  <si>
    <t>陶瓷螺杆转子</t>
  </si>
  <si>
    <t>TC5.0CC</t>
  </si>
  <si>
    <t>陶瓷螺杆定子</t>
  </si>
  <si>
    <t>DC5.0CC</t>
  </si>
  <si>
    <t>陶瓷螺杆泵</t>
  </si>
  <si>
    <t>TC-5CC</t>
  </si>
  <si>
    <t>定子</t>
  </si>
  <si>
    <t>LNC6.0CC-DZNQ</t>
  </si>
  <si>
    <t>同恩</t>
  </si>
  <si>
    <t>MS DZ08-FFKM</t>
  </si>
  <si>
    <t>博勤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</si>
</sst>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d&quot;日&quot;;@"/>
    <numFmt numFmtId="178" formatCode="0.00_);[Red]\(0.0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6"/>
      <color rgb="FFFFFFFF"/>
      <name val="宋体"/>
      <charset val="134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8" borderId="5">
      <alignment vertical="center"/>
    </xf>
    <xf numFmtId="0" fontId="17" fillId="9" borderId="6">
      <alignment vertical="center"/>
    </xf>
    <xf numFmtId="0" fontId="18" fillId="9" borderId="5">
      <alignment vertical="center"/>
    </xf>
    <xf numFmtId="0" fontId="19" fillId="10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1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7" fontId="0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alignment vertical="center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4" tint="-0.499984740745262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 style="thin">
          <color theme="4" tint="0.79998168889431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0"/>
        </bottom>
        <vertical style="thin">
          <color theme="0"/>
        </vertic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11_Accent1" pivot="0" count="7" xr9:uid="{CD7BBC66-7B44-4B59-B880-05322B0760B7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_63" displayName="表1_63" ref="N7:O11">
  <autoFilter xmlns:etc="http://www.wps.cn/officeDocument/2017/etCustomData" ref="N7:O11" etc:filterBottomFollowUsedRange="0"/>
  <tableColumns count="2">
    <tableColumn id="1" name="列1" dataDxfId="0" totalsRowLabel="汇总"/>
    <tableColumn id="2" name="列2" dataDxfId="1">
      <calculatedColumnFormula>SUM(F4:F35)</calculatedColumnFormula>
    </tableColumn>
  </tableColumns>
  <tableStyleInfo name="TableStylePreset11_Accent1" showFirstColumn="1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"/>
  <sheetViews>
    <sheetView tabSelected="1" zoomScale="130" zoomScaleNormal="130" topLeftCell="A17" workbookViewId="0">
      <selection activeCell="L25" sqref="L25"/>
    </sheetView>
  </sheetViews>
  <sheetFormatPr defaultColWidth="9" defaultRowHeight="17.6"/>
  <cols>
    <col min="1" max="1" width="9" style="1"/>
    <col min="2" max="2" width="26.7403846153846" style="1" customWidth="1"/>
    <col min="3" max="3" width="21.2019230769231" style="1" customWidth="1"/>
    <col min="4" max="6" width="9" style="1"/>
    <col min="7" max="7" width="12.5" style="2" customWidth="1"/>
    <col min="8" max="13" width="9" style="1"/>
    <col min="14" max="15" width="25.625" style="1" customWidth="1"/>
    <col min="16" max="16384" width="9" style="1"/>
  </cols>
  <sheetData>
    <row r="1" s="1" customFormat="1" ht="32" customHeight="1" spans="1:15">
      <c r="A1" s="3" t="s">
        <v>0</v>
      </c>
      <c r="B1" s="3"/>
      <c r="C1" s="3"/>
      <c r="D1" s="3"/>
      <c r="E1" s="3"/>
      <c r="F1" s="3"/>
      <c r="G1" s="4"/>
      <c r="H1" s="3"/>
      <c r="I1" s="3"/>
      <c r="J1" s="3"/>
      <c r="K1" s="3"/>
      <c r="L1" s="3"/>
    </row>
    <row r="2" s="1" customFormat="1" ht="32" customHeight="1" spans="1: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5" t="s">
        <v>7</v>
      </c>
      <c r="I2" s="5"/>
      <c r="J2" s="5" t="s">
        <v>8</v>
      </c>
      <c r="K2" s="5"/>
      <c r="L2" s="5" t="s">
        <v>9</v>
      </c>
    </row>
    <row r="3" s="1" customFormat="1" spans="1:15">
      <c r="A3" s="5"/>
      <c r="B3" s="5"/>
      <c r="C3" s="5"/>
      <c r="D3" s="5"/>
      <c r="E3" s="5"/>
      <c r="F3" s="5" t="s">
        <v>10</v>
      </c>
      <c r="G3" s="6" t="s">
        <v>11</v>
      </c>
      <c r="H3" s="5" t="s">
        <v>10</v>
      </c>
      <c r="I3" s="5" t="s">
        <v>11</v>
      </c>
      <c r="J3" s="5" t="s">
        <v>10</v>
      </c>
      <c r="K3" s="5" t="s">
        <v>12</v>
      </c>
      <c r="L3" s="5"/>
    </row>
    <row r="4" s="1" customFormat="1" ht="24" customHeight="1" spans="1:15">
      <c r="A4" s="7">
        <f t="shared" ref="A4:A33" si="0">ROW()-3</f>
        <v>1</v>
      </c>
      <c r="B4" s="7" t="s">
        <v>13</v>
      </c>
      <c r="C4" s="7" t="s">
        <v>14</v>
      </c>
      <c r="D4" s="8" t="s">
        <v>15</v>
      </c>
      <c r="E4" s="9" t="s">
        <v>16</v>
      </c>
      <c r="F4" s="7">
        <v>5</v>
      </c>
      <c r="G4" s="10">
        <v>3500</v>
      </c>
      <c r="H4" s="9"/>
      <c r="I4" s="7"/>
      <c r="J4" s="7">
        <v>0</v>
      </c>
      <c r="K4" s="7"/>
      <c r="L4" s="7"/>
    </row>
    <row r="5" s="1" customFormat="1" ht="24" customHeight="1" spans="1:15">
      <c r="A5" s="7">
        <f t="shared" si="0"/>
        <v>2</v>
      </c>
      <c r="B5" s="11" t="s">
        <v>17</v>
      </c>
      <c r="C5" s="7" t="s">
        <v>14</v>
      </c>
      <c r="D5" s="8" t="s">
        <v>15</v>
      </c>
      <c r="E5" s="9" t="s">
        <v>18</v>
      </c>
      <c r="F5" s="7">
        <v>26</v>
      </c>
      <c r="G5" s="10">
        <v>2200</v>
      </c>
      <c r="H5" s="9"/>
      <c r="I5" s="7"/>
      <c r="J5" s="7">
        <v>12</v>
      </c>
      <c r="K5" s="7"/>
      <c r="L5" s="7"/>
    </row>
    <row r="6" s="1" customFormat="1" ht="24" customHeight="1" spans="1:15">
      <c r="A6" s="7">
        <f t="shared" si="0"/>
        <v>3</v>
      </c>
      <c r="B6" s="11" t="s">
        <v>19</v>
      </c>
      <c r="C6" s="7" t="s">
        <v>14</v>
      </c>
      <c r="D6" s="8" t="s">
        <v>15</v>
      </c>
      <c r="E6" s="9" t="s">
        <v>18</v>
      </c>
      <c r="F6" s="7">
        <v>35</v>
      </c>
      <c r="G6" s="10">
        <v>900</v>
      </c>
      <c r="H6" s="9"/>
      <c r="I6" s="7"/>
      <c r="J6" s="7">
        <v>15</v>
      </c>
      <c r="K6" s="7"/>
      <c r="L6" s="7"/>
    </row>
    <row r="7" s="1" customFormat="1" ht="24" customHeight="1" spans="1:15">
      <c r="A7" s="7">
        <f t="shared" si="0"/>
        <v>4</v>
      </c>
      <c r="B7" s="7" t="s">
        <v>20</v>
      </c>
      <c r="C7" s="7" t="s">
        <v>14</v>
      </c>
      <c r="D7" s="8" t="s">
        <v>15</v>
      </c>
      <c r="E7" s="9" t="s">
        <v>18</v>
      </c>
      <c r="F7" s="7">
        <v>45</v>
      </c>
      <c r="G7" s="10">
        <v>1300</v>
      </c>
      <c r="H7" s="9"/>
      <c r="I7" s="7"/>
      <c r="J7" s="7">
        <v>14</v>
      </c>
      <c r="K7" s="7"/>
      <c r="L7" s="7"/>
      <c r="N7" s="1" t="s">
        <v>21</v>
      </c>
      <c r="O7" s="1" t="s">
        <v>22</v>
      </c>
    </row>
    <row r="8" s="1" customFormat="1" ht="24" customHeight="1" spans="1:15">
      <c r="A8" s="7">
        <f t="shared" si="0"/>
        <v>5</v>
      </c>
      <c r="B8" s="11" t="s">
        <v>23</v>
      </c>
      <c r="C8" s="7">
        <v>0.6</v>
      </c>
      <c r="D8" s="8" t="s">
        <v>15</v>
      </c>
      <c r="E8" s="9" t="s">
        <v>18</v>
      </c>
      <c r="F8" s="7">
        <v>7</v>
      </c>
      <c r="G8" s="10">
        <v>1100</v>
      </c>
      <c r="H8" s="9"/>
      <c r="I8" s="7"/>
      <c r="J8" s="7">
        <v>7</v>
      </c>
      <c r="K8" s="7"/>
      <c r="L8" s="7"/>
      <c r="N8" s="12" t="s">
        <v>24</v>
      </c>
      <c r="O8" s="13">
        <f>SUM(F4:F33)</f>
        <v>296</v>
      </c>
    </row>
    <row r="9" s="1" customFormat="1" ht="24" customHeight="1" spans="1:15">
      <c r="A9" s="7">
        <f t="shared" si="0"/>
        <v>6</v>
      </c>
      <c r="B9" s="11" t="s">
        <v>25</v>
      </c>
      <c r="C9" s="7" t="s">
        <v>14</v>
      </c>
      <c r="D9" s="8" t="s">
        <v>15</v>
      </c>
      <c r="E9" s="9" t="s">
        <v>18</v>
      </c>
      <c r="F9" s="7">
        <v>8</v>
      </c>
      <c r="G9" s="10">
        <v>2700</v>
      </c>
      <c r="H9" s="9"/>
      <c r="I9" s="14"/>
      <c r="J9" s="7">
        <v>8</v>
      </c>
      <c r="K9" s="7"/>
      <c r="L9" s="7"/>
      <c r="N9" s="12" t="s">
        <v>26</v>
      </c>
      <c r="O9" s="13" cm="1">
        <f t="array" ref="O9">SUMPRODUCT(F4:F35,G4:G35)</f>
        <v>392142.82</v>
      </c>
    </row>
    <row r="10" s="1" customFormat="1" ht="24" customHeight="1" spans="1:15">
      <c r="A10" s="7">
        <f t="shared" si="0"/>
        <v>7</v>
      </c>
      <c r="B10" s="11" t="s">
        <v>27</v>
      </c>
      <c r="C10" s="7">
        <v>0.15</v>
      </c>
      <c r="D10" s="8" t="s">
        <v>15</v>
      </c>
      <c r="E10" s="7" t="s">
        <v>18</v>
      </c>
      <c r="F10" s="7">
        <v>45</v>
      </c>
      <c r="G10" s="10">
        <v>950</v>
      </c>
      <c r="H10" s="9"/>
      <c r="I10" s="14"/>
      <c r="J10" s="7">
        <v>18</v>
      </c>
      <c r="K10" s="7"/>
      <c r="L10" s="7"/>
      <c r="N10" s="12" t="s">
        <v>28</v>
      </c>
      <c r="O10" s="13">
        <f>SUM(J4:J33)</f>
        <v>151</v>
      </c>
    </row>
    <row r="11" s="1" customFormat="1" ht="24" customHeight="1" spans="1:15">
      <c r="A11" s="7">
        <f t="shared" si="0"/>
        <v>8</v>
      </c>
      <c r="B11" s="11" t="s">
        <v>29</v>
      </c>
      <c r="C11" s="7">
        <v>0.15</v>
      </c>
      <c r="D11" s="8" t="s">
        <v>15</v>
      </c>
      <c r="E11" s="7" t="s">
        <v>18</v>
      </c>
      <c r="F11" s="7">
        <v>35</v>
      </c>
      <c r="G11" s="10">
        <v>750</v>
      </c>
      <c r="H11" s="9"/>
      <c r="I11" s="14"/>
      <c r="J11" s="7">
        <v>13</v>
      </c>
      <c r="K11" s="7"/>
      <c r="L11" s="7"/>
      <c r="N11" s="12" t="s">
        <v>30</v>
      </c>
      <c r="O11" s="13" cm="1">
        <f t="array" ref="O11">SUMPRODUCT(G4:G33,J4:J33)</f>
        <v>189264.26</v>
      </c>
    </row>
    <row r="12" s="1" customFormat="1" ht="24" customHeight="1" spans="1:15">
      <c r="A12" s="7">
        <f t="shared" si="0"/>
        <v>9</v>
      </c>
      <c r="B12" s="7" t="s">
        <v>17</v>
      </c>
      <c r="C12" s="7">
        <v>450</v>
      </c>
      <c r="D12" s="8" t="s">
        <v>15</v>
      </c>
      <c r="E12" s="7" t="s">
        <v>18</v>
      </c>
      <c r="F12" s="7">
        <v>1</v>
      </c>
      <c r="G12" s="10">
        <v>750</v>
      </c>
      <c r="H12" s="9"/>
      <c r="I12" s="14"/>
      <c r="J12" s="7">
        <v>0</v>
      </c>
      <c r="K12" s="7"/>
      <c r="L12" s="7"/>
    </row>
    <row r="13" s="1" customFormat="1" ht="24" customHeight="1" spans="1:15">
      <c r="A13" s="7">
        <f t="shared" si="0"/>
        <v>10</v>
      </c>
      <c r="B13" s="7" t="s">
        <v>31</v>
      </c>
      <c r="C13" s="7">
        <v>450</v>
      </c>
      <c r="D13" s="8" t="s">
        <v>15</v>
      </c>
      <c r="E13" s="7" t="s">
        <v>18</v>
      </c>
      <c r="F13" s="7">
        <v>1</v>
      </c>
      <c r="G13" s="10">
        <v>950</v>
      </c>
      <c r="H13" s="9"/>
      <c r="I13" s="14"/>
      <c r="J13" s="7">
        <v>0</v>
      </c>
      <c r="K13" s="7"/>
      <c r="L13" s="7"/>
    </row>
    <row r="14" s="1" customFormat="1" ht="24" customHeight="1" spans="1:15">
      <c r="A14" s="7">
        <f t="shared" si="0"/>
        <v>11</v>
      </c>
      <c r="B14" s="7" t="s">
        <v>32</v>
      </c>
      <c r="C14" s="7">
        <v>0.05</v>
      </c>
      <c r="D14" s="8" t="s">
        <v>15</v>
      </c>
      <c r="E14" s="7" t="s">
        <v>16</v>
      </c>
      <c r="F14" s="7">
        <v>15</v>
      </c>
      <c r="G14" s="10">
        <v>1700</v>
      </c>
      <c r="H14" s="9"/>
      <c r="I14" s="14"/>
      <c r="J14" s="7">
        <v>0</v>
      </c>
      <c r="K14" s="7"/>
      <c r="L14" s="7"/>
    </row>
    <row r="15" s="1" customFormat="1" ht="24" customHeight="1" spans="1:15">
      <c r="A15" s="7">
        <f t="shared" si="0"/>
        <v>12</v>
      </c>
      <c r="B15" s="15" t="s">
        <v>25</v>
      </c>
      <c r="C15" s="15" t="s">
        <v>33</v>
      </c>
      <c r="D15" s="8" t="s">
        <v>15</v>
      </c>
      <c r="E15" s="7" t="s">
        <v>18</v>
      </c>
      <c r="F15" s="7"/>
      <c r="G15" s="10">
        <v>3000</v>
      </c>
      <c r="H15" s="9"/>
      <c r="I15" s="14"/>
      <c r="J15" s="7">
        <v>1</v>
      </c>
      <c r="K15" s="7"/>
      <c r="L15" s="7"/>
    </row>
    <row r="16" s="1" customFormat="1" ht="24" customHeight="1" spans="1:15">
      <c r="A16" s="7">
        <f t="shared" si="0"/>
        <v>13</v>
      </c>
      <c r="B16" s="15" t="s">
        <v>23</v>
      </c>
      <c r="C16" s="15" t="s">
        <v>33</v>
      </c>
      <c r="D16" s="8" t="s">
        <v>15</v>
      </c>
      <c r="E16" s="7" t="s">
        <v>18</v>
      </c>
      <c r="F16" s="7"/>
      <c r="G16" s="10">
        <v>1200</v>
      </c>
      <c r="H16" s="9"/>
      <c r="I16" s="14"/>
      <c r="J16" s="7">
        <v>1</v>
      </c>
      <c r="K16" s="7"/>
      <c r="L16" s="7"/>
    </row>
    <row r="17" s="1" customFormat="1" ht="24" customHeight="1" spans="1:18">
      <c r="A17" s="7">
        <f t="shared" si="0"/>
        <v>14</v>
      </c>
      <c r="B17" s="15" t="s">
        <v>34</v>
      </c>
      <c r="C17" s="15" t="s">
        <v>35</v>
      </c>
      <c r="D17" s="8" t="s">
        <v>15</v>
      </c>
      <c r="E17" s="7" t="s">
        <v>18</v>
      </c>
      <c r="F17" s="7"/>
      <c r="G17" s="10">
        <v>1850</v>
      </c>
      <c r="H17" s="9"/>
      <c r="I17" s="14"/>
      <c r="J17" s="7">
        <v>4</v>
      </c>
      <c r="K17" s="7"/>
      <c r="L17" s="7"/>
    </row>
    <row r="18" s="1" customFormat="1" ht="24" customHeight="1" spans="1:18">
      <c r="A18" s="7">
        <f t="shared" si="0"/>
        <v>15</v>
      </c>
      <c r="B18" s="16" t="s">
        <v>36</v>
      </c>
      <c r="C18" s="16" t="s">
        <v>37</v>
      </c>
      <c r="D18" s="9" t="s">
        <v>15</v>
      </c>
      <c r="E18" s="7" t="s">
        <v>18</v>
      </c>
      <c r="F18" s="7"/>
      <c r="G18" s="10"/>
      <c r="H18" s="9"/>
      <c r="I18" s="14"/>
      <c r="J18" s="7">
        <v>4</v>
      </c>
      <c r="K18" s="7"/>
      <c r="L18" s="7"/>
    </row>
    <row r="19" s="1" customFormat="1" ht="24" customHeight="1" spans="1:18">
      <c r="A19" s="7">
        <f t="shared" si="0"/>
        <v>16</v>
      </c>
      <c r="B19" s="15" t="s">
        <v>23</v>
      </c>
      <c r="C19" s="15" t="s">
        <v>37</v>
      </c>
      <c r="D19" s="8" t="s">
        <v>15</v>
      </c>
      <c r="E19" s="7" t="s">
        <v>18</v>
      </c>
      <c r="F19" s="7"/>
      <c r="G19" s="10">
        <v>600</v>
      </c>
      <c r="H19" s="9"/>
      <c r="I19" s="14"/>
      <c r="J19" s="7">
        <v>3</v>
      </c>
      <c r="K19" s="7"/>
      <c r="L19" s="7"/>
    </row>
    <row r="20" s="1" customFormat="1" ht="24" customHeight="1" spans="1:18">
      <c r="A20" s="7">
        <f t="shared" si="0"/>
        <v>17</v>
      </c>
      <c r="B20" s="17" t="s">
        <v>23</v>
      </c>
      <c r="C20" s="18" t="s">
        <v>14</v>
      </c>
      <c r="D20" s="8" t="s">
        <v>38</v>
      </c>
      <c r="E20" s="19" t="s">
        <v>18</v>
      </c>
      <c r="F20" s="20">
        <v>6</v>
      </c>
      <c r="G20" s="21">
        <v>700</v>
      </c>
      <c r="H20" s="9"/>
      <c r="I20" s="14"/>
      <c r="J20" s="9">
        <v>4</v>
      </c>
      <c r="K20" s="7"/>
      <c r="L20" s="7"/>
    </row>
    <row r="21" s="1" customFormat="1" ht="24" customHeight="1" spans="1:18">
      <c r="A21" s="7">
        <f t="shared" si="0"/>
        <v>18</v>
      </c>
      <c r="B21" s="17" t="s">
        <v>25</v>
      </c>
      <c r="C21" s="18" t="s">
        <v>14</v>
      </c>
      <c r="D21" s="8" t="s">
        <v>38</v>
      </c>
      <c r="E21" s="19" t="s">
        <v>18</v>
      </c>
      <c r="F21" s="20">
        <v>6</v>
      </c>
      <c r="G21" s="21">
        <v>1800</v>
      </c>
      <c r="H21" s="9"/>
      <c r="I21" s="14"/>
      <c r="J21" s="9">
        <v>2</v>
      </c>
      <c r="K21" s="7"/>
      <c r="L21" s="7"/>
      <c r="N21" s="22"/>
      <c r="O21" s="22"/>
      <c r="P21" s="23"/>
      <c r="Q21" s="23"/>
      <c r="R21" s="22"/>
    </row>
    <row r="22" s="1" customFormat="1" ht="24" customHeight="1" spans="1:18">
      <c r="A22" s="7">
        <f t="shared" si="0"/>
        <v>19</v>
      </c>
      <c r="B22" s="17" t="s">
        <v>39</v>
      </c>
      <c r="C22" s="18" t="s">
        <v>14</v>
      </c>
      <c r="D22" s="8" t="s">
        <v>38</v>
      </c>
      <c r="E22" s="19" t="s">
        <v>18</v>
      </c>
      <c r="F22" s="20">
        <v>1</v>
      </c>
      <c r="G22" s="21">
        <v>700</v>
      </c>
      <c r="H22" s="9"/>
      <c r="I22" s="14"/>
      <c r="J22" s="9">
        <v>0</v>
      </c>
      <c r="K22" s="7"/>
      <c r="L22" s="7"/>
      <c r="N22" s="24"/>
      <c r="O22" s="24"/>
      <c r="P22" s="24"/>
      <c r="Q22" s="25"/>
      <c r="R22" s="25"/>
    </row>
    <row r="23" s="1" customFormat="1" ht="24" customHeight="1" spans="1:18">
      <c r="A23" s="7">
        <f t="shared" si="0"/>
        <v>20</v>
      </c>
      <c r="B23" s="26" t="s">
        <v>40</v>
      </c>
      <c r="C23" s="27" t="s">
        <v>14</v>
      </c>
      <c r="D23" s="9" t="s">
        <v>38</v>
      </c>
      <c r="E23" s="19" t="s">
        <v>18</v>
      </c>
      <c r="F23" s="20">
        <v>4</v>
      </c>
      <c r="G23" s="21">
        <v>1800</v>
      </c>
      <c r="H23" s="9"/>
      <c r="I23" s="14"/>
      <c r="J23" s="20">
        <v>4</v>
      </c>
      <c r="K23" s="7"/>
      <c r="L23" s="7" t="s">
        <v>41</v>
      </c>
      <c r="N23" s="24"/>
      <c r="O23" s="24"/>
      <c r="P23" s="24"/>
      <c r="Q23" s="25"/>
      <c r="R23" s="25"/>
    </row>
    <row r="24" s="1" customFormat="1" ht="24" customHeight="1" spans="1:18">
      <c r="A24" s="7">
        <f t="shared" si="0"/>
        <v>21</v>
      </c>
      <c r="B24" s="17" t="s">
        <v>42</v>
      </c>
      <c r="C24" s="18" t="s">
        <v>43</v>
      </c>
      <c r="D24" s="9" t="s">
        <v>38</v>
      </c>
      <c r="E24" s="19" t="s">
        <v>18</v>
      </c>
      <c r="F24" s="20">
        <v>3</v>
      </c>
      <c r="G24" s="21">
        <v>700</v>
      </c>
      <c r="H24" s="9"/>
      <c r="I24" s="14"/>
      <c r="J24" s="9">
        <v>0</v>
      </c>
      <c r="K24" s="7"/>
      <c r="L24" s="7"/>
      <c r="N24" s="24"/>
      <c r="O24" s="24"/>
      <c r="P24" s="24"/>
      <c r="Q24" s="25"/>
      <c r="R24" s="25"/>
    </row>
    <row r="25" s="1" customFormat="1" ht="24" customHeight="1" spans="1:18">
      <c r="A25" s="7">
        <f t="shared" si="0"/>
        <v>22</v>
      </c>
      <c r="B25" s="28" t="s">
        <v>44</v>
      </c>
      <c r="C25" s="18" t="s">
        <v>43</v>
      </c>
      <c r="D25" s="9" t="s">
        <v>38</v>
      </c>
      <c r="E25" s="19" t="s">
        <v>18</v>
      </c>
      <c r="F25" s="20">
        <v>3</v>
      </c>
      <c r="G25" s="21">
        <v>900</v>
      </c>
      <c r="H25" s="9"/>
      <c r="I25" s="14"/>
      <c r="J25" s="9">
        <v>2</v>
      </c>
      <c r="K25" s="7"/>
      <c r="L25" s="7"/>
      <c r="N25" s="24"/>
      <c r="O25" s="24"/>
      <c r="P25" s="24"/>
      <c r="Q25" s="25"/>
      <c r="R25" s="25"/>
    </row>
    <row r="26" s="1" customFormat="1" ht="24" customHeight="1" spans="1:18">
      <c r="A26" s="7">
        <f t="shared" si="0"/>
        <v>23</v>
      </c>
      <c r="B26" s="29" t="s">
        <v>45</v>
      </c>
      <c r="C26" s="30" t="s">
        <v>14</v>
      </c>
      <c r="D26" s="9" t="s">
        <v>38</v>
      </c>
      <c r="E26" s="19" t="s">
        <v>18</v>
      </c>
      <c r="F26" s="20">
        <v>16</v>
      </c>
      <c r="G26" s="21">
        <v>1200</v>
      </c>
      <c r="H26" s="9"/>
      <c r="I26" s="14"/>
      <c r="J26" s="20">
        <v>16</v>
      </c>
      <c r="K26" s="7"/>
      <c r="L26" s="7" t="s">
        <v>41</v>
      </c>
      <c r="N26" s="24"/>
      <c r="O26" s="24"/>
      <c r="P26" s="24"/>
      <c r="Q26" s="25"/>
      <c r="R26" s="25"/>
    </row>
    <row r="27" s="1" customFormat="1" ht="24" customHeight="1" spans="1:18">
      <c r="A27" s="7">
        <f t="shared" si="0"/>
        <v>24</v>
      </c>
      <c r="B27" s="29" t="s">
        <v>40</v>
      </c>
      <c r="C27" s="30" t="s">
        <v>14</v>
      </c>
      <c r="D27" s="9" t="s">
        <v>38</v>
      </c>
      <c r="E27" s="19" t="s">
        <v>18</v>
      </c>
      <c r="F27" s="20">
        <v>12</v>
      </c>
      <c r="G27" s="21">
        <v>1800</v>
      </c>
      <c r="H27" s="9"/>
      <c r="I27" s="14"/>
      <c r="J27" s="20">
        <v>12</v>
      </c>
      <c r="K27" s="7"/>
      <c r="L27" s="7" t="s">
        <v>41</v>
      </c>
      <c r="N27" s="24"/>
      <c r="O27" s="24"/>
      <c r="P27" s="24"/>
      <c r="Q27" s="25"/>
      <c r="R27" s="25"/>
    </row>
    <row r="28" s="1" customFormat="1" ht="24" customHeight="1" spans="1:18">
      <c r="A28" s="7">
        <f t="shared" si="0"/>
        <v>25</v>
      </c>
      <c r="B28" s="31" t="s">
        <v>46</v>
      </c>
      <c r="C28" s="20" t="s">
        <v>47</v>
      </c>
      <c r="D28" s="8" t="s">
        <v>38</v>
      </c>
      <c r="E28" s="19" t="s">
        <v>16</v>
      </c>
      <c r="F28" s="20">
        <v>1</v>
      </c>
      <c r="G28" s="21">
        <v>5000</v>
      </c>
      <c r="H28" s="9"/>
      <c r="I28" s="14"/>
      <c r="J28" s="9">
        <v>0</v>
      </c>
      <c r="K28" s="7"/>
      <c r="L28" s="7"/>
      <c r="N28" s="24"/>
      <c r="O28" s="24"/>
      <c r="P28" s="24"/>
      <c r="Q28" s="25"/>
      <c r="R28" s="25"/>
    </row>
    <row r="29" s="1" customFormat="1" ht="24" customHeight="1" spans="1:18">
      <c r="A29" s="7">
        <f t="shared" si="0"/>
        <v>26</v>
      </c>
      <c r="B29" s="31" t="s">
        <v>48</v>
      </c>
      <c r="C29" s="20" t="s">
        <v>49</v>
      </c>
      <c r="D29" s="8" t="s">
        <v>38</v>
      </c>
      <c r="E29" s="19" t="s">
        <v>18</v>
      </c>
      <c r="F29" s="20">
        <v>1</v>
      </c>
      <c r="G29" s="21">
        <v>4000</v>
      </c>
      <c r="H29" s="9"/>
      <c r="I29" s="14"/>
      <c r="J29" s="9">
        <v>0</v>
      </c>
      <c r="K29" s="7"/>
      <c r="L29" s="7"/>
      <c r="N29" s="24"/>
      <c r="O29" s="24"/>
      <c r="P29" s="24"/>
      <c r="Q29" s="25"/>
      <c r="R29" s="25"/>
    </row>
    <row r="30" s="1" customFormat="1" ht="24" customHeight="1" spans="1:18">
      <c r="A30" s="7">
        <f t="shared" si="0"/>
        <v>27</v>
      </c>
      <c r="B30" s="31" t="s">
        <v>50</v>
      </c>
      <c r="C30" s="20" t="s">
        <v>51</v>
      </c>
      <c r="D30" s="8" t="s">
        <v>38</v>
      </c>
      <c r="E30" s="19" t="s">
        <v>18</v>
      </c>
      <c r="F30" s="20">
        <v>1</v>
      </c>
      <c r="G30" s="21">
        <v>1000</v>
      </c>
      <c r="H30" s="9"/>
      <c r="I30" s="14"/>
      <c r="J30" s="9">
        <v>1</v>
      </c>
      <c r="K30" s="7"/>
      <c r="L30" s="7"/>
      <c r="N30" s="24"/>
      <c r="O30" s="24"/>
      <c r="P30" s="24"/>
      <c r="Q30" s="25"/>
      <c r="R30" s="25"/>
    </row>
    <row r="31" s="1" customFormat="1" ht="24" customHeight="1" spans="1:18">
      <c r="A31" s="7">
        <f t="shared" si="0"/>
        <v>28</v>
      </c>
      <c r="B31" s="31" t="s">
        <v>52</v>
      </c>
      <c r="C31" s="20" t="s">
        <v>53</v>
      </c>
      <c r="D31" s="9" t="s">
        <v>38</v>
      </c>
      <c r="E31" s="19" t="s">
        <v>16</v>
      </c>
      <c r="F31" s="20">
        <v>2</v>
      </c>
      <c r="G31" s="21">
        <v>7000</v>
      </c>
      <c r="H31" s="9"/>
      <c r="I31" s="14"/>
      <c r="J31" s="9">
        <v>0</v>
      </c>
      <c r="K31" s="7"/>
      <c r="L31" s="7"/>
      <c r="N31" s="24"/>
      <c r="O31" s="24"/>
      <c r="P31" s="24"/>
      <c r="Q31" s="25"/>
      <c r="R31" s="25"/>
    </row>
    <row r="32" s="1" customFormat="1" ht="24" customHeight="1" spans="1:18">
      <c r="A32" s="7">
        <f t="shared" si="0"/>
        <v>29</v>
      </c>
      <c r="B32" s="32" t="s">
        <v>54</v>
      </c>
      <c r="C32" s="32" t="s">
        <v>55</v>
      </c>
      <c r="D32" s="9" t="s">
        <v>56</v>
      </c>
      <c r="E32" s="9" t="s">
        <v>18</v>
      </c>
      <c r="F32" s="9">
        <v>4</v>
      </c>
      <c r="G32" s="33">
        <v>1200</v>
      </c>
      <c r="H32" s="9"/>
      <c r="I32" s="14"/>
      <c r="J32" s="9">
        <v>1</v>
      </c>
      <c r="K32" s="7"/>
      <c r="L32" s="7"/>
      <c r="N32" s="24"/>
      <c r="O32" s="24"/>
      <c r="P32" s="24"/>
      <c r="Q32" s="25"/>
      <c r="R32" s="25"/>
    </row>
    <row r="33" s="1" customFormat="1" ht="24" customHeight="1" spans="1:18">
      <c r="A33" s="7">
        <f t="shared" si="0"/>
        <v>30</v>
      </c>
      <c r="B33" s="32" t="s">
        <v>54</v>
      </c>
      <c r="C33" s="32" t="s">
        <v>57</v>
      </c>
      <c r="D33" s="9" t="s">
        <v>58</v>
      </c>
      <c r="E33" s="9" t="s">
        <v>18</v>
      </c>
      <c r="F33" s="9">
        <v>13</v>
      </c>
      <c r="G33" s="33">
        <v>357.14</v>
      </c>
      <c r="H33" s="9"/>
      <c r="I33" s="14"/>
      <c r="J33" s="9">
        <v>9</v>
      </c>
      <c r="K33" s="7"/>
      <c r="L33" s="7"/>
      <c r="N33" s="24"/>
      <c r="O33" s="24"/>
      <c r="P33" s="24"/>
      <c r="Q33" s="25"/>
      <c r="R33" s="25"/>
    </row>
    <row r="34" s="1" customFormat="1" ht="24" customHeight="1" spans="1:18">
      <c r="A34" s="3"/>
      <c r="B34" s="34"/>
      <c r="C34" s="34"/>
      <c r="D34" s="35"/>
      <c r="E34" s="35"/>
      <c r="F34" s="35"/>
      <c r="G34" s="2"/>
      <c r="H34" s="35"/>
      <c r="I34" s="36"/>
      <c r="J34" s="35"/>
      <c r="K34" s="3"/>
      <c r="L34" s="3"/>
      <c r="N34" s="24"/>
      <c r="O34" s="24"/>
      <c r="P34" s="24"/>
      <c r="Q34" s="25"/>
      <c r="R34" s="25"/>
    </row>
    <row r="35" s="1" customFormat="1" ht="23.2" spans="1:18">
      <c r="A35" s="3"/>
      <c r="B35" s="34"/>
      <c r="C35" s="34"/>
      <c r="D35" s="35"/>
      <c r="E35" s="35"/>
      <c r="F35" s="35"/>
      <c r="G35" s="2"/>
      <c r="H35" s="35"/>
      <c r="I35" s="36"/>
      <c r="J35" s="35"/>
      <c r="K35" s="3"/>
      <c r="L35" s="3"/>
      <c r="N35" s="24"/>
      <c r="O35" s="24"/>
      <c r="P35" s="24"/>
      <c r="Q35" s="25"/>
      <c r="R35" s="25"/>
    </row>
    <row r="36" s="1" customFormat="1" ht="23.2" spans="1:18">
      <c r="G36" s="2"/>
      <c r="N36" s="24"/>
      <c r="O36" s="24"/>
      <c r="P36" s="24"/>
      <c r="Q36" s="25"/>
      <c r="R36" s="25"/>
    </row>
    <row r="37" s="1" customFormat="1" ht="23.2" spans="1:18">
      <c r="G37" s="2"/>
      <c r="N37" s="24"/>
      <c r="O37" s="24"/>
      <c r="P37" s="24"/>
      <c r="Q37" s="25"/>
      <c r="R37" s="25"/>
    </row>
    <row r="38" s="1" customFormat="1" ht="23.2" spans="1:18">
      <c r="G38" s="2"/>
      <c r="N38" s="24"/>
      <c r="O38" s="24"/>
      <c r="P38" s="24"/>
      <c r="Q38" s="25"/>
      <c r="R38" s="25"/>
    </row>
  </sheetData>
  <mergeCells count="8">
    <mergeCell ref="A1:L1"/>
    <mergeCell ref="F2:G2"/>
    <mergeCell ref="H2:I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金生</cp:lastModifiedBy>
  <dcterms:created xsi:type="dcterms:W3CDTF">2023-05-12T19:15:00Z</dcterms:created>
  <dcterms:modified xsi:type="dcterms:W3CDTF">2026-07-08T16:19:07Z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A78D1785ED5748C798FF033903FAED1E_12</vt:lpwstr>
  </property>
  <property fmtid="{D5CDD505-2E9C-101B-9397-08002B2CF9AE}" pid="5" name="KSOReadingLayout">
    <vt:bool>true</vt:bool>
  </property>
</Properties>
</file>